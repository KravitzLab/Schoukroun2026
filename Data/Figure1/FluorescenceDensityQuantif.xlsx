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21898684935/WOPIServiceId_TP_BOX_2/WOPIUserId_-/"/>
    </mc:Choice>
  </mc:AlternateContent>
  <xr:revisionPtr revIDLastSave="61" documentId="13_ncr:1_{33479DB6-A6DB-4548-B58E-4D960EBA251B}" xr6:coauthVersionLast="47" xr6:coauthVersionMax="47" xr10:uidLastSave="{7450DCEC-B75B-4E97-96A9-8623DBCCC289}"/>
  <bookViews>
    <workbookView xWindow="-120" yWindow="-120" windowWidth="29040" windowHeight="15720" xr2:uid="{6B8A34BF-2FF2-4705-8615-0A2688248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I25" i="1"/>
  <c r="H25" i="1"/>
  <c r="H5" i="1"/>
  <c r="I5" i="1" s="1"/>
  <c r="J5" i="1" s="1"/>
  <c r="J3" i="1"/>
  <c r="J4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I4" i="1"/>
  <c r="I6" i="1"/>
  <c r="I7" i="1"/>
  <c r="I8" i="1"/>
  <c r="I9" i="1"/>
  <c r="I10" i="1"/>
  <c r="I11" i="1"/>
  <c r="I12" i="1"/>
  <c r="I13" i="1"/>
  <c r="I14" i="1"/>
  <c r="I15" i="1"/>
  <c r="I3" i="1"/>
  <c r="I2" i="1"/>
</calcChain>
</file>

<file path=xl/sharedStrings.xml><?xml version="1.0" encoding="utf-8"?>
<sst xmlns="http://schemas.openxmlformats.org/spreadsheetml/2006/main" count="59" uniqueCount="37">
  <si>
    <t>Individual</t>
  </si>
  <si>
    <t>Area</t>
  </si>
  <si>
    <t>CTCF</t>
  </si>
  <si>
    <t>181M3</t>
  </si>
  <si>
    <t>159M5</t>
  </si>
  <si>
    <t>572M4</t>
  </si>
  <si>
    <t>891M2</t>
  </si>
  <si>
    <t>891M5</t>
  </si>
  <si>
    <t>9881M1</t>
  </si>
  <si>
    <t>9881M2</t>
  </si>
  <si>
    <t>9881M4</t>
  </si>
  <si>
    <t>9881M5</t>
  </si>
  <si>
    <t>9882M1</t>
  </si>
  <si>
    <t>9882M2</t>
  </si>
  <si>
    <t>9882M3</t>
  </si>
  <si>
    <t>9882M4</t>
  </si>
  <si>
    <t>9882M5</t>
  </si>
  <si>
    <t>Group</t>
  </si>
  <si>
    <t>CHOW</t>
  </si>
  <si>
    <t>9884M2</t>
  </si>
  <si>
    <t>HFD</t>
  </si>
  <si>
    <t>9884M3</t>
  </si>
  <si>
    <t>9883M3</t>
  </si>
  <si>
    <t>9883M4</t>
  </si>
  <si>
    <t>9883M5</t>
  </si>
  <si>
    <t>569M3</t>
  </si>
  <si>
    <t>569M4</t>
  </si>
  <si>
    <t>570M3</t>
  </si>
  <si>
    <t>Bck1</t>
  </si>
  <si>
    <t>Bck2</t>
  </si>
  <si>
    <t>Bck3</t>
  </si>
  <si>
    <t>Avg Bck</t>
  </si>
  <si>
    <t>IntD</t>
  </si>
  <si>
    <t>570M4</t>
  </si>
  <si>
    <t>Nmz CTCF</t>
  </si>
  <si>
    <t>CTCF/area</t>
  </si>
  <si>
    <t>569M1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</si>
</sst>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8CB9-E101-42B5-94B8-7132168DAA0F}">
  <dimension ref="A1:O25"/>
  <sheetViews>
    <sheetView tabSelected="1" zoomScale="130" zoomScaleNormal="130" workbookViewId="0">
      <selection activeCell="M10" sqref="M10"/>
    </sheetView>
  </sheetViews>
  <sheetFormatPr defaultRowHeight="15" x14ac:dyDescent="0.25"/>
  <cols>
    <col min="5" max="5" width="16.28515625" customWidth="1"/>
    <col min="7" max="7" width="9.140625" customWidth="1"/>
    <col min="11" max="11" width="9.42578125" customWidth="1"/>
  </cols>
  <sheetData>
    <row r="1" spans="1:15" x14ac:dyDescent="0.25">
      <c r="A1" t="s">
        <v>0</v>
      </c>
      <c r="B1" t="s">
        <v>17</v>
      </c>
      <c r="C1" t="s">
        <v>1</v>
      </c>
      <c r="D1" t="s">
        <v>32</v>
      </c>
      <c r="E1" t="s">
        <v>28</v>
      </c>
      <c r="F1" t="s">
        <v>29</v>
      </c>
      <c r="G1" t="s">
        <v>30</v>
      </c>
      <c r="H1" t="s">
        <v>31</v>
      </c>
      <c r="I1" t="s">
        <v>2</v>
      </c>
      <c r="J1" t="s">
        <v>35</v>
      </c>
      <c r="K1" t="s">
        <v>34</v>
      </c>
    </row>
    <row r="2" spans="1:15" x14ac:dyDescent="0.25">
      <c r="A2" s="1" t="s">
        <v>3</v>
      </c>
      <c r="B2" s="1" t="s">
        <v>18</v>
      </c>
      <c r="C2">
        <v>217.351</v>
      </c>
      <c r="D2">
        <v>29359.436000000002</v>
      </c>
      <c r="E2">
        <v>21.689</v>
      </c>
      <c r="F2">
        <v>26.516999999999999</v>
      </c>
      <c r="G2">
        <v>27.5</v>
      </c>
      <c r="H2">
        <v>25.235333333333333</v>
      </c>
      <c r="I2">
        <f>D2-(C2*H2)</f>
        <v>23874.511064666669</v>
      </c>
      <c r="J2">
        <f>I2/C2</f>
        <v>109.84311581113806</v>
      </c>
      <c r="K2">
        <v>1.6104601507228926</v>
      </c>
    </row>
    <row r="3" spans="1:15" x14ac:dyDescent="0.25">
      <c r="A3" s="1" t="s">
        <v>4</v>
      </c>
      <c r="B3" s="1" t="s">
        <v>18</v>
      </c>
      <c r="C3">
        <v>166.8</v>
      </c>
      <c r="D3">
        <v>11195.058999999999</v>
      </c>
      <c r="E3">
        <v>44.83</v>
      </c>
      <c r="F3">
        <v>48.587000000000003</v>
      </c>
      <c r="G3">
        <v>48.942</v>
      </c>
      <c r="H3">
        <v>47.453000000000003</v>
      </c>
      <c r="I3">
        <f t="shared" ref="I3:I22" si="0">D3-(C3*H3)</f>
        <v>3279.8985999999986</v>
      </c>
      <c r="J3">
        <f t="shared" ref="J3:J24" si="1">I3/C3</f>
        <v>19.663660671462821</v>
      </c>
      <c r="K3">
        <v>0.28829792103836832</v>
      </c>
    </row>
    <row r="4" spans="1:15" x14ac:dyDescent="0.25">
      <c r="A4" s="2" t="s">
        <v>5</v>
      </c>
      <c r="B4" s="2" t="s">
        <v>18</v>
      </c>
      <c r="C4">
        <v>175.95699999999999</v>
      </c>
      <c r="D4">
        <v>21890.400000000001</v>
      </c>
      <c r="E4">
        <v>82.019000000000005</v>
      </c>
      <c r="F4">
        <v>89.817999999999998</v>
      </c>
      <c r="G4">
        <v>77.805999999999997</v>
      </c>
      <c r="H4">
        <v>83.214333333333329</v>
      </c>
      <c r="I4">
        <f t="shared" si="0"/>
        <v>7248.25554966667</v>
      </c>
      <c r="J4">
        <f t="shared" si="1"/>
        <v>41.193334449136266</v>
      </c>
      <c r="K4">
        <v>0.60395431353020335</v>
      </c>
    </row>
    <row r="5" spans="1:15" x14ac:dyDescent="0.25">
      <c r="A5" s="2" t="s">
        <v>6</v>
      </c>
      <c r="B5" s="2" t="s">
        <v>18</v>
      </c>
      <c r="C5">
        <v>151.857</v>
      </c>
      <c r="D5">
        <v>23167.006000000001</v>
      </c>
      <c r="E5">
        <v>36.759</v>
      </c>
      <c r="F5">
        <v>2.9889999999999999</v>
      </c>
      <c r="G5">
        <v>3.58</v>
      </c>
      <c r="H5">
        <f>AVERAGE(E5:G5)</f>
        <v>14.442666666666666</v>
      </c>
      <c r="I5">
        <f t="shared" si="0"/>
        <v>20973.785968</v>
      </c>
      <c r="J5">
        <f t="shared" si="1"/>
        <v>138.11537148764955</v>
      </c>
      <c r="K5">
        <v>2.0249726197278366</v>
      </c>
    </row>
    <row r="6" spans="1:15" x14ac:dyDescent="0.25">
      <c r="A6" s="1" t="s">
        <v>7</v>
      </c>
      <c r="B6" s="1" t="s">
        <v>18</v>
      </c>
      <c r="C6">
        <v>249.178</v>
      </c>
      <c r="D6">
        <v>25658.857</v>
      </c>
      <c r="E6">
        <v>3.0000000000000001E-3</v>
      </c>
      <c r="F6">
        <v>7.5999999999999998E-2</v>
      </c>
      <c r="G6">
        <v>2.7E-2</v>
      </c>
      <c r="H6">
        <v>3.5333333333333335E-2</v>
      </c>
      <c r="I6">
        <f t="shared" si="0"/>
        <v>25650.052710666667</v>
      </c>
      <c r="J6">
        <f t="shared" si="1"/>
        <v>102.93867320014876</v>
      </c>
      <c r="K6">
        <v>1.5092309602921536</v>
      </c>
    </row>
    <row r="7" spans="1:15" x14ac:dyDescent="0.25">
      <c r="A7" s="1" t="s">
        <v>8</v>
      </c>
      <c r="B7" s="1" t="s">
        <v>18</v>
      </c>
      <c r="C7">
        <v>180.61199999999999</v>
      </c>
      <c r="D7">
        <v>8868.7240000000002</v>
      </c>
      <c r="E7">
        <v>0</v>
      </c>
      <c r="F7">
        <v>5.569</v>
      </c>
      <c r="G7">
        <v>1.8280000000000001</v>
      </c>
      <c r="H7">
        <v>2.4656666666666669</v>
      </c>
      <c r="I7">
        <f t="shared" si="0"/>
        <v>8423.3950120000009</v>
      </c>
      <c r="J7">
        <f t="shared" si="1"/>
        <v>46.638069519190317</v>
      </c>
      <c r="K7">
        <v>0.68378206419818233</v>
      </c>
    </row>
    <row r="8" spans="1:15" x14ac:dyDescent="0.25">
      <c r="A8" s="1" t="s">
        <v>9</v>
      </c>
      <c r="B8" s="1" t="s">
        <v>18</v>
      </c>
      <c r="C8">
        <v>161.303</v>
      </c>
      <c r="D8">
        <v>9327.4860000000008</v>
      </c>
      <c r="E8">
        <v>8.9999999999999993E-3</v>
      </c>
      <c r="F8">
        <v>0</v>
      </c>
      <c r="G8">
        <v>0</v>
      </c>
      <c r="H8">
        <v>2.9999999999999996E-3</v>
      </c>
      <c r="I8">
        <f t="shared" si="0"/>
        <v>9327.0020910000003</v>
      </c>
      <c r="J8">
        <f t="shared" si="1"/>
        <v>57.822868086768381</v>
      </c>
      <c r="K8">
        <v>0.84776751065909262</v>
      </c>
    </row>
    <row r="9" spans="1:15" x14ac:dyDescent="0.25">
      <c r="A9" s="1" t="s">
        <v>10</v>
      </c>
      <c r="B9" s="1" t="s">
        <v>18</v>
      </c>
      <c r="C9">
        <v>134.17599999999999</v>
      </c>
      <c r="D9">
        <v>12253.498</v>
      </c>
      <c r="E9">
        <v>3.0000000000000001E-3</v>
      </c>
      <c r="F9">
        <v>32.722000000000001</v>
      </c>
      <c r="G9">
        <v>0.14499999999999999</v>
      </c>
      <c r="H9">
        <v>10.956666666666669</v>
      </c>
      <c r="I9">
        <f t="shared" si="0"/>
        <v>10783.376293333333</v>
      </c>
      <c r="J9">
        <f t="shared" si="1"/>
        <v>80.36740023054297</v>
      </c>
      <c r="K9">
        <v>1.1783032057377532</v>
      </c>
    </row>
    <row r="10" spans="1:15" x14ac:dyDescent="0.25">
      <c r="A10" s="1" t="s">
        <v>11</v>
      </c>
      <c r="B10" s="1" t="s">
        <v>18</v>
      </c>
      <c r="C10">
        <v>110.55</v>
      </c>
      <c r="D10">
        <v>5641.0910000000003</v>
      </c>
      <c r="E10">
        <v>1.7789999999999999</v>
      </c>
      <c r="F10">
        <v>0.51500000000000001</v>
      </c>
      <c r="G10">
        <v>1.538</v>
      </c>
      <c r="H10">
        <v>1.2773333333333332</v>
      </c>
      <c r="I10">
        <f t="shared" si="0"/>
        <v>5499.8818000000001</v>
      </c>
      <c r="J10">
        <f t="shared" si="1"/>
        <v>49.750174581637268</v>
      </c>
      <c r="K10">
        <v>0.72941005964353345</v>
      </c>
    </row>
    <row r="11" spans="1:15" x14ac:dyDescent="0.25">
      <c r="A11" s="1" t="s">
        <v>12</v>
      </c>
      <c r="B11" s="1" t="s">
        <v>18</v>
      </c>
      <c r="C11">
        <v>175.89</v>
      </c>
      <c r="D11">
        <v>14898.031000000001</v>
      </c>
      <c r="E11">
        <v>7.0000000000000001E-3</v>
      </c>
      <c r="F11">
        <v>14.03</v>
      </c>
      <c r="G11">
        <v>3.0000000000000001E-3</v>
      </c>
      <c r="H11">
        <v>4.68</v>
      </c>
      <c r="I11">
        <f t="shared" si="0"/>
        <v>14074.865800000001</v>
      </c>
      <c r="J11">
        <f t="shared" si="1"/>
        <v>80.020841434987787</v>
      </c>
      <c r="K11">
        <v>1.173222148759328</v>
      </c>
    </row>
    <row r="12" spans="1:15" x14ac:dyDescent="0.25">
      <c r="A12" s="1" t="s">
        <v>13</v>
      </c>
      <c r="B12" s="1" t="s">
        <v>18</v>
      </c>
      <c r="C12">
        <v>174.85499999999999</v>
      </c>
      <c r="D12">
        <v>11656.732</v>
      </c>
      <c r="E12">
        <v>0.35699999999999998</v>
      </c>
      <c r="F12">
        <v>0.47499999999999998</v>
      </c>
      <c r="G12">
        <v>0.65200000000000002</v>
      </c>
      <c r="H12">
        <v>0.49466666666666664</v>
      </c>
      <c r="I12">
        <f t="shared" si="0"/>
        <v>11570.237059999999</v>
      </c>
      <c r="J12">
        <f t="shared" si="1"/>
        <v>66.170467301478368</v>
      </c>
      <c r="K12">
        <v>0.97015547999356211</v>
      </c>
      <c r="O12" s="3"/>
    </row>
    <row r="13" spans="1:15" x14ac:dyDescent="0.25">
      <c r="A13" s="1" t="s">
        <v>14</v>
      </c>
      <c r="B13" s="1" t="s">
        <v>18</v>
      </c>
      <c r="C13">
        <v>167.76499999999999</v>
      </c>
      <c r="D13">
        <v>10388.528</v>
      </c>
      <c r="E13">
        <v>2.633</v>
      </c>
      <c r="F13">
        <v>2E-3</v>
      </c>
      <c r="G13">
        <v>3.0000000000000001E-3</v>
      </c>
      <c r="H13">
        <v>0.8793333333333333</v>
      </c>
      <c r="I13">
        <f t="shared" si="0"/>
        <v>10241.006643333334</v>
      </c>
      <c r="J13">
        <f t="shared" si="1"/>
        <v>61.04376147190019</v>
      </c>
      <c r="K13">
        <v>0.89499050145079928</v>
      </c>
    </row>
    <row r="14" spans="1:15" x14ac:dyDescent="0.25">
      <c r="A14" s="1" t="s">
        <v>15</v>
      </c>
      <c r="B14" s="1" t="s">
        <v>18</v>
      </c>
      <c r="C14">
        <v>182.542</v>
      </c>
      <c r="D14">
        <v>12234.974</v>
      </c>
      <c r="E14">
        <v>23.353999999999999</v>
      </c>
      <c r="F14">
        <v>8.375</v>
      </c>
      <c r="G14">
        <v>6.3239999999999998</v>
      </c>
      <c r="H14">
        <v>12.684333333333333</v>
      </c>
      <c r="I14">
        <f t="shared" si="0"/>
        <v>9919.5504246666678</v>
      </c>
      <c r="J14">
        <f t="shared" si="1"/>
        <v>54.341195038219517</v>
      </c>
      <c r="K14">
        <v>0.79672110997090972</v>
      </c>
    </row>
    <row r="15" spans="1:15" x14ac:dyDescent="0.25">
      <c r="A15" s="1" t="s">
        <v>16</v>
      </c>
      <c r="B15" s="1" t="s">
        <v>18</v>
      </c>
      <c r="C15">
        <v>103.191</v>
      </c>
      <c r="D15">
        <v>4877.2209999999995</v>
      </c>
      <c r="E15">
        <v>0.47099999999999997</v>
      </c>
      <c r="F15">
        <v>0.104</v>
      </c>
      <c r="G15">
        <v>0.28999999999999998</v>
      </c>
      <c r="H15">
        <v>0.28833333333333333</v>
      </c>
      <c r="I15">
        <f t="shared" si="0"/>
        <v>4847.4675949999992</v>
      </c>
      <c r="J15">
        <f t="shared" si="1"/>
        <v>46.975681939316402</v>
      </c>
      <c r="K15">
        <v>0.68873195427538125</v>
      </c>
    </row>
    <row r="16" spans="1:15" x14ac:dyDescent="0.25">
      <c r="A16" s="1" t="s">
        <v>19</v>
      </c>
      <c r="B16" s="1" t="s">
        <v>20</v>
      </c>
      <c r="C16">
        <v>140.76400000000001</v>
      </c>
      <c r="D16">
        <v>6155.2690000000002</v>
      </c>
      <c r="E16">
        <v>0</v>
      </c>
      <c r="F16">
        <v>3.6999999999999998E-2</v>
      </c>
      <c r="G16">
        <v>2E-3</v>
      </c>
      <c r="H16">
        <f t="shared" ref="H16:H21" si="2">AVERAGE(E16:G16)</f>
        <v>1.2999999999999999E-2</v>
      </c>
      <c r="I16">
        <f t="shared" si="0"/>
        <v>6153.4390680000006</v>
      </c>
      <c r="J16">
        <f t="shared" si="1"/>
        <v>43.714579494757182</v>
      </c>
      <c r="K16">
        <v>0.64091944007633395</v>
      </c>
    </row>
    <row r="17" spans="1:11" x14ac:dyDescent="0.25">
      <c r="A17" s="1" t="s">
        <v>21</v>
      </c>
      <c r="B17" s="1" t="s">
        <v>20</v>
      </c>
      <c r="C17">
        <v>179.40299999999999</v>
      </c>
      <c r="D17">
        <v>16843.092000000001</v>
      </c>
      <c r="E17">
        <v>0.53</v>
      </c>
      <c r="F17">
        <v>3.0000000000000001E-3</v>
      </c>
      <c r="G17" s="3">
        <v>5.3569999999999996E-4</v>
      </c>
      <c r="H17">
        <f t="shared" si="2"/>
        <v>0.17784523333333335</v>
      </c>
      <c r="I17">
        <f t="shared" si="0"/>
        <v>16811.186031604302</v>
      </c>
      <c r="J17">
        <f t="shared" si="1"/>
        <v>93.706270416906648</v>
      </c>
      <c r="K17">
        <v>1.3738704812303708</v>
      </c>
    </row>
    <row r="18" spans="1:11" x14ac:dyDescent="0.25">
      <c r="A18" s="1" t="s">
        <v>22</v>
      </c>
      <c r="B18" s="1" t="s">
        <v>20</v>
      </c>
      <c r="C18">
        <v>169.23500000000001</v>
      </c>
      <c r="D18">
        <v>8318.4660000000003</v>
      </c>
      <c r="E18">
        <v>0.17799999999999999</v>
      </c>
      <c r="F18">
        <v>0.115</v>
      </c>
      <c r="G18">
        <v>8.9999999999999993E-3</v>
      </c>
      <c r="H18">
        <f t="shared" si="2"/>
        <v>0.10066666666666667</v>
      </c>
      <c r="I18">
        <f t="shared" si="0"/>
        <v>8301.4296766666666</v>
      </c>
      <c r="J18">
        <f t="shared" si="1"/>
        <v>49.052676317940531</v>
      </c>
      <c r="K18">
        <v>0.71918371864267028</v>
      </c>
    </row>
    <row r="19" spans="1:11" x14ac:dyDescent="0.25">
      <c r="A19" s="1" t="s">
        <v>23</v>
      </c>
      <c r="B19" s="1" t="s">
        <v>20</v>
      </c>
      <c r="C19">
        <v>241.245</v>
      </c>
      <c r="D19">
        <v>18732.592000000001</v>
      </c>
      <c r="E19">
        <v>0.185</v>
      </c>
      <c r="F19">
        <v>1.9E-2</v>
      </c>
      <c r="G19">
        <v>1.4999999999999999E-2</v>
      </c>
      <c r="H19">
        <f t="shared" si="2"/>
        <v>7.2999999999999995E-2</v>
      </c>
      <c r="I19">
        <f t="shared" si="0"/>
        <v>18714.981115000002</v>
      </c>
      <c r="J19">
        <f t="shared" si="1"/>
        <v>77.576659060291419</v>
      </c>
      <c r="K19">
        <v>1.1373868732713706</v>
      </c>
    </row>
    <row r="20" spans="1:11" x14ac:dyDescent="0.25">
      <c r="A20" s="1" t="s">
        <v>24</v>
      </c>
      <c r="B20" s="1" t="s">
        <v>20</v>
      </c>
      <c r="C20">
        <v>129.434</v>
      </c>
      <c r="D20">
        <v>7456.473</v>
      </c>
      <c r="E20">
        <v>4.0000000000000001E-3</v>
      </c>
      <c r="F20">
        <v>0</v>
      </c>
      <c r="G20">
        <v>2.544</v>
      </c>
      <c r="H20">
        <f t="shared" si="2"/>
        <v>0.84933333333333338</v>
      </c>
      <c r="I20">
        <f t="shared" si="0"/>
        <v>7346.5403893333332</v>
      </c>
      <c r="J20">
        <f t="shared" si="1"/>
        <v>56.758968967453171</v>
      </c>
      <c r="K20">
        <v>0.83216919916370269</v>
      </c>
    </row>
    <row r="21" spans="1:11" x14ac:dyDescent="0.25">
      <c r="A21" s="1" t="s">
        <v>25</v>
      </c>
      <c r="B21" s="1" t="s">
        <v>20</v>
      </c>
      <c r="C21">
        <v>128.55500000000001</v>
      </c>
      <c r="D21">
        <v>5679.152</v>
      </c>
      <c r="E21">
        <v>23.404</v>
      </c>
      <c r="F21">
        <v>0.56399999999999995</v>
      </c>
      <c r="G21">
        <v>1.9350000000000001</v>
      </c>
      <c r="H21">
        <f t="shared" si="2"/>
        <v>8.6343333333333323</v>
      </c>
      <c r="I21">
        <f t="shared" si="0"/>
        <v>4569.1652783333338</v>
      </c>
      <c r="J21">
        <f t="shared" si="1"/>
        <v>35.542493705677209</v>
      </c>
      <c r="K21">
        <v>0.52110475333501305</v>
      </c>
    </row>
    <row r="22" spans="1:11" x14ac:dyDescent="0.25">
      <c r="A22" s="1" t="s">
        <v>26</v>
      </c>
      <c r="B22" s="1" t="s">
        <v>20</v>
      </c>
      <c r="C22">
        <v>153.316</v>
      </c>
      <c r="D22">
        <v>8464.598</v>
      </c>
      <c r="E22">
        <v>0.33400000000000002</v>
      </c>
      <c r="F22">
        <v>1.2E-2</v>
      </c>
      <c r="G22">
        <v>0.04</v>
      </c>
      <c r="H22">
        <f t="shared" ref="H22:H25" si="3">AVERAGE(E22:G22)</f>
        <v>0.12866666666666668</v>
      </c>
      <c r="I22">
        <f t="shared" si="0"/>
        <v>8444.8713413333335</v>
      </c>
      <c r="J22">
        <f t="shared" si="1"/>
        <v>55.081474479723795</v>
      </c>
      <c r="K22">
        <v>0.80757468538288057</v>
      </c>
    </row>
    <row r="23" spans="1:11" x14ac:dyDescent="0.25">
      <c r="A23" s="1" t="s">
        <v>27</v>
      </c>
      <c r="B23" s="1" t="s">
        <v>20</v>
      </c>
      <c r="C23">
        <v>250.042</v>
      </c>
      <c r="D23">
        <v>8703.5059999999994</v>
      </c>
      <c r="E23" s="3">
        <v>4.8000000000000001E-2</v>
      </c>
      <c r="F23">
        <v>0.19900000000000001</v>
      </c>
      <c r="G23">
        <v>0.01</v>
      </c>
      <c r="H23">
        <f t="shared" si="3"/>
        <v>8.5666666666666669E-2</v>
      </c>
      <c r="I23">
        <f t="shared" ref="I23:I25" si="4">D23-(C23*H23)</f>
        <v>8682.0857353333322</v>
      </c>
      <c r="J23">
        <f t="shared" si="1"/>
        <v>34.722509559727293</v>
      </c>
      <c r="K23">
        <v>0.50908259080324902</v>
      </c>
    </row>
    <row r="24" spans="1:11" x14ac:dyDescent="0.25">
      <c r="A24" s="1" t="s">
        <v>33</v>
      </c>
      <c r="B24" s="1" t="s">
        <v>20</v>
      </c>
      <c r="C24">
        <v>187.53800000000001</v>
      </c>
      <c r="D24">
        <v>2969.9659999999999</v>
      </c>
      <c r="E24">
        <v>1.925</v>
      </c>
      <c r="F24">
        <v>0.79100000000000004</v>
      </c>
      <c r="G24">
        <v>0.76100000000000001</v>
      </c>
      <c r="H24">
        <f t="shared" si="3"/>
        <v>1.159</v>
      </c>
      <c r="I24">
        <f t="shared" si="4"/>
        <v>2752.6094579999999</v>
      </c>
      <c r="J24">
        <f t="shared" si="1"/>
        <v>14.677609113886252</v>
      </c>
      <c r="K24">
        <v>0.2151951390967744</v>
      </c>
    </row>
    <row r="25" spans="1:11" x14ac:dyDescent="0.25">
      <c r="A25" s="1" t="s">
        <v>36</v>
      </c>
      <c r="B25" s="1" t="s">
        <v>20</v>
      </c>
      <c r="C25">
        <v>169.34800000000001</v>
      </c>
      <c r="D25">
        <v>17642.901999999998</v>
      </c>
      <c r="E25">
        <v>0.93700000000000006</v>
      </c>
      <c r="F25">
        <v>0.46800000000000003</v>
      </c>
      <c r="G25">
        <v>1.8240000000000001</v>
      </c>
      <c r="H25">
        <f t="shared" si="3"/>
        <v>1.0763333333333334</v>
      </c>
      <c r="I25">
        <f t="shared" si="4"/>
        <v>17460.627102666665</v>
      </c>
      <c r="J25">
        <f>I25/C25</f>
        <v>103.1050092275472</v>
      </c>
      <c r="K25">
        <v>1.5116696888531254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Schoukroun, Florian</dc:creator>
  <cp:lastModifiedBy>Florian Schoukroun</cp:lastModifiedBy>
  <dcterms:created xsi:type="dcterms:W3CDTF">2026-05-06T22:37:01Z</dcterms:created>
  <dcterms:modified xsi:type="dcterms:W3CDTF">2026-05-07T23:24:19Z</dcterms:modified>
</cp:coreProperties>
</file>